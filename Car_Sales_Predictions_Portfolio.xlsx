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atascience_projects\Automobile_projects\"/>
    </mc:Choice>
  </mc:AlternateContent>
  <xr:revisionPtr revIDLastSave="0" documentId="8_{437D64F5-8880-4882-9B5D-1635A4D54C6D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Project_1_Forecast" sheetId="1" r:id="rId1"/>
    <sheet name="Project1" sheetId="7" r:id="rId2"/>
    <sheet name="Project_2_Product_Growth" sheetId="2" r:id="rId3"/>
    <sheet name="Project2" sheetId="6" r:id="rId4"/>
    <sheet name="Project_3_Country_Growth" sheetId="3" r:id="rId5"/>
    <sheet name="Project3" sheetId="5" r:id="rId6"/>
    <sheet name="Executive_Summary" sheetId="4" r:id="rId7"/>
  </sheets>
  <definedNames>
    <definedName name="_xlnm._FilterDatabase" localSheetId="0" hidden="1">Project_1_Forecast!$A$1:$A$54</definedName>
    <definedName name="_xlchart.v1.0" hidden="1">Project_3_Country_Growth!$A$8:$C$8</definedName>
    <definedName name="_xlchart.v1.1" hidden="1">Project_3_Country_Growth!$D$1:$D$7</definedName>
    <definedName name="_xlchart.v1.2" hidden="1">Project_3_Country_Growth!$D$8</definedName>
  </definedNames>
  <calcPr calcId="191029"/>
  <pivotCaches>
    <pivotCache cacheId="12" r:id="rId8"/>
    <pivotCache cacheId="7" r:id="rId9"/>
    <pivotCache cacheId="1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2" i="2"/>
</calcChain>
</file>

<file path=xl/sharedStrings.xml><?xml version="1.0" encoding="utf-8"?>
<sst xmlns="http://schemas.openxmlformats.org/spreadsheetml/2006/main" count="85" uniqueCount="53">
  <si>
    <t>MONTH_DATE</t>
  </si>
  <si>
    <t>Actual_SALES</t>
  </si>
  <si>
    <t>Predicted_SALES</t>
  </si>
  <si>
    <t>Forecast_Horizon_Month</t>
  </si>
  <si>
    <t>Forecast_Year</t>
  </si>
  <si>
    <t>PRODUCTLINE</t>
  </si>
  <si>
    <t>FY 2019 Sales</t>
  </si>
  <si>
    <t>FY 2020–21 Predicted</t>
  </si>
  <si>
    <t>Growth %</t>
  </si>
  <si>
    <t>Classic Cars</t>
  </si>
  <si>
    <t>Vintage Cars</t>
  </si>
  <si>
    <t>Planes</t>
  </si>
  <si>
    <t>Motorcycles</t>
  </si>
  <si>
    <t>Trucks and Buses</t>
  </si>
  <si>
    <t>Ships</t>
  </si>
  <si>
    <t>Trains</t>
  </si>
  <si>
    <t>COUNTRY</t>
  </si>
  <si>
    <t>Actual_2019_Growth_%</t>
  </si>
  <si>
    <t>Predicted_2020-21_Growth_%</t>
  </si>
  <si>
    <t>Belgium</t>
  </si>
  <si>
    <t>Canada</t>
  </si>
  <si>
    <t>France</t>
  </si>
  <si>
    <t>Italy</t>
  </si>
  <si>
    <t>Sweden</t>
  </si>
  <si>
    <t>USA</t>
  </si>
  <si>
    <t>Spain</t>
  </si>
  <si>
    <t>Business Problem</t>
  </si>
  <si>
    <t>Business Value</t>
  </si>
  <si>
    <t>Future Sales Forecasting</t>
  </si>
  <si>
    <t>Product Line Growth Analysis</t>
  </si>
  <si>
    <t>Country Growth Comparison</t>
  </si>
  <si>
    <t>Improves inventory and demand planning</t>
  </si>
  <si>
    <t>Identifies high-performing car categories</t>
  </si>
  <si>
    <t>Optimizes regional marketing and expansion</t>
  </si>
  <si>
    <t xml:space="preserve">      Growth Units</t>
  </si>
  <si>
    <t>Grand Total</t>
  </si>
  <si>
    <t>Sum of Actual_2019_Growth_%</t>
  </si>
  <si>
    <t>Sum of Predicted_2020-21_Growth_%</t>
  </si>
  <si>
    <t>Country</t>
  </si>
  <si>
    <t>Sum of FY 2019 Sales</t>
  </si>
  <si>
    <t>Sum of FY 2020–21 Predicted</t>
  </si>
  <si>
    <t>Sum of       Growth Units</t>
  </si>
  <si>
    <t>Sum of Growth %</t>
  </si>
  <si>
    <t>2019</t>
  </si>
  <si>
    <t>2020</t>
  </si>
  <si>
    <t>2021</t>
  </si>
  <si>
    <t>2022</t>
  </si>
  <si>
    <t>2023</t>
  </si>
  <si>
    <t>Sum of Actual_SALES</t>
  </si>
  <si>
    <t>Sum of Predicted_SALES</t>
  </si>
  <si>
    <t>Sum of Forecast_Horizon_Month</t>
  </si>
  <si>
    <t>Sum of Forecast_Year</t>
  </si>
  <si>
    <t>YEAR_MONTH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</si>
</sst>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[Car_Sales_Predictions_Portfolio.xlsx]Project1!PivotTable3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Project1!$B$3</c:f>
              <c:strCache>
                <c:ptCount val="1"/>
                <c:pt idx="0">
                  <c:v>Sum of Actual_SALES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Project1!$A$4:$A$9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Project1!$B$4:$B$9</c:f>
              <c:numCache>
                <c:formatCode>General</c:formatCode>
                <c:ptCount val="5"/>
                <c:pt idx="0">
                  <c:v>4308904</c:v>
                </c:pt>
                <c:pt idx="1">
                  <c:v>1474599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5-48D0-945A-FCE7218DF893}"/>
            </c:ext>
          </c:extLst>
        </c:ser>
        <c:ser>
          <c:idx val="1"/>
          <c:order val="1"/>
          <c:tx>
            <c:strRef>
              <c:f>Project1!$C$3</c:f>
              <c:strCache>
                <c:ptCount val="1"/>
                <c:pt idx="0">
                  <c:v>Sum of Predicted_SALES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Project1!$A$4:$A$9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Project1!$C$4:$C$9</c:f>
              <c:numCache>
                <c:formatCode>General</c:formatCode>
                <c:ptCount val="5"/>
                <c:pt idx="1">
                  <c:v>3195673.125</c:v>
                </c:pt>
                <c:pt idx="2">
                  <c:v>4676397.640625</c:v>
                </c:pt>
                <c:pt idx="3">
                  <c:v>4834569.75</c:v>
                </c:pt>
                <c:pt idx="4">
                  <c:v>1632818.5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F5-48D0-945A-FCE7218DF893}"/>
            </c:ext>
          </c:extLst>
        </c:ser>
        <c:ser>
          <c:idx val="2"/>
          <c:order val="2"/>
          <c:tx>
            <c:strRef>
              <c:f>Project1!$D$3</c:f>
              <c:strCache>
                <c:ptCount val="1"/>
                <c:pt idx="0">
                  <c:v>Sum of Forecast_Horizon_Month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Project1!$A$4:$A$9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Project1!$D$4:$D$9</c:f>
              <c:numCache>
                <c:formatCode>General</c:formatCode>
                <c:ptCount val="5"/>
                <c:pt idx="1">
                  <c:v>28</c:v>
                </c:pt>
                <c:pt idx="2">
                  <c:v>162</c:v>
                </c:pt>
                <c:pt idx="3">
                  <c:v>306</c:v>
                </c:pt>
                <c:pt idx="4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F5-48D0-945A-FCE7218DF893}"/>
            </c:ext>
          </c:extLst>
        </c:ser>
        <c:ser>
          <c:idx val="3"/>
          <c:order val="3"/>
          <c:tx>
            <c:strRef>
              <c:f>Project1!$E$3</c:f>
              <c:strCache>
                <c:ptCount val="1"/>
                <c:pt idx="0">
                  <c:v>Sum of Forecast_Year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Project1!$A$4:$A$9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Project1!$E$4:$E$9</c:f>
              <c:numCache>
                <c:formatCode>General</c:formatCode>
                <c:ptCount val="5"/>
                <c:pt idx="1">
                  <c:v>14140</c:v>
                </c:pt>
                <c:pt idx="2">
                  <c:v>24252</c:v>
                </c:pt>
                <c:pt idx="3">
                  <c:v>24264</c:v>
                </c:pt>
                <c:pt idx="4">
                  <c:v>10115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F5-48D0-945A-FCE7218DF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9485039"/>
        <c:axId val="1529487439"/>
      </c:barChart>
      <c:catAx>
        <c:axId val="152948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487439"/>
        <c:crosses val="autoZero"/>
        <c:auto val="1"/>
        <c:lblAlgn val="ctr"/>
        <c:lblOffset val="100"/>
        <c:noMultiLvlLbl val="0"/>
      </c:catAx>
      <c:valAx>
        <c:axId val="152948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48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[Car_Sales_Predictions_Portfolio.xlsx]Project2!PivotTable2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Project2!$B$3</c:f>
              <c:strCache>
                <c:ptCount val="1"/>
                <c:pt idx="0">
                  <c:v>Sum of FY 2019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Project2!$A$4:$A$11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Project2!$B$4:$B$11</c:f>
              <c:numCache>
                <c:formatCode>General</c:formatCode>
                <c:ptCount val="7"/>
                <c:pt idx="0">
                  <c:v>15629</c:v>
                </c:pt>
                <c:pt idx="1">
                  <c:v>5748</c:v>
                </c:pt>
                <c:pt idx="2">
                  <c:v>5945</c:v>
                </c:pt>
                <c:pt idx="3">
                  <c:v>4006</c:v>
                </c:pt>
                <c:pt idx="4">
                  <c:v>1248</c:v>
                </c:pt>
                <c:pt idx="5">
                  <c:v>5198</c:v>
                </c:pt>
                <c:pt idx="6">
                  <c:v>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E-4B7C-8633-DD6495BF4297}"/>
            </c:ext>
          </c:extLst>
        </c:ser>
        <c:ser>
          <c:idx val="1"/>
          <c:order val="1"/>
          <c:tx>
            <c:strRef>
              <c:f>Project2!$C$3</c:f>
              <c:strCache>
                <c:ptCount val="1"/>
                <c:pt idx="0">
                  <c:v>Sum of FY 2020–21 Predicted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Project2!$A$4:$A$11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Project2!$C$4:$C$11</c:f>
              <c:numCache>
                <c:formatCode>General</c:formatCode>
                <c:ptCount val="7"/>
                <c:pt idx="0">
                  <c:v>14939.2412109375</c:v>
                </c:pt>
                <c:pt idx="1">
                  <c:v>5762.05712890625</c:v>
                </c:pt>
                <c:pt idx="2">
                  <c:v>5872.4658203125</c:v>
                </c:pt>
                <c:pt idx="3">
                  <c:v>4125.82958984375</c:v>
                </c:pt>
                <c:pt idx="4">
                  <c:v>1695.234985351562</c:v>
                </c:pt>
                <c:pt idx="5">
                  <c:v>5333.83447265625</c:v>
                </c:pt>
                <c:pt idx="6">
                  <c:v>9809.0439453125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4E-4B7C-8633-DD6495BF4297}"/>
            </c:ext>
          </c:extLst>
        </c:ser>
        <c:ser>
          <c:idx val="2"/>
          <c:order val="2"/>
          <c:tx>
            <c:strRef>
              <c:f>Project2!$D$3</c:f>
              <c:strCache>
                <c:ptCount val="1"/>
                <c:pt idx="0">
                  <c:v>Sum of       Growth Units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Project2!$A$4:$A$11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Project2!$D$4:$D$11</c:f>
              <c:numCache>
                <c:formatCode>General</c:formatCode>
                <c:ptCount val="7"/>
                <c:pt idx="0">
                  <c:v>-690</c:v>
                </c:pt>
                <c:pt idx="1">
                  <c:v>14</c:v>
                </c:pt>
                <c:pt idx="2">
                  <c:v>-73</c:v>
                </c:pt>
                <c:pt idx="3">
                  <c:v>120</c:v>
                </c:pt>
                <c:pt idx="4">
                  <c:v>447</c:v>
                </c:pt>
                <c:pt idx="5">
                  <c:v>136</c:v>
                </c:pt>
                <c:pt idx="6">
                  <c:v>-184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4E-4B7C-8633-DD6495BF4297}"/>
            </c:ext>
          </c:extLst>
        </c:ser>
        <c:ser>
          <c:idx val="3"/>
          <c:order val="3"/>
          <c:tx>
            <c:strRef>
              <c:f>Project2!$E$3</c:f>
              <c:strCache>
                <c:ptCount val="1"/>
                <c:pt idx="0">
                  <c:v>Sum of Growth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Project2!$A$4:$A$11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Project2!$E$4:$E$11</c:f>
              <c:numCache>
                <c:formatCode>General</c:formatCode>
                <c:ptCount val="7"/>
                <c:pt idx="0">
                  <c:v>-4.4000000000000004</c:v>
                </c:pt>
                <c:pt idx="1">
                  <c:v>0.2</c:v>
                </c:pt>
                <c:pt idx="2">
                  <c:v>-1.2</c:v>
                </c:pt>
                <c:pt idx="3">
                  <c:v>3</c:v>
                </c:pt>
                <c:pt idx="4">
                  <c:v>35.799999999999997</c:v>
                </c:pt>
                <c:pt idx="5">
                  <c:v>2.6</c:v>
                </c:pt>
                <c:pt idx="6">
                  <c:v>-1.8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4E-4B7C-8633-DD6495BF4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9480719"/>
        <c:axId val="1529482639"/>
      </c:barChart>
      <c:catAx>
        <c:axId val="15294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482639"/>
        <c:crosses val="autoZero"/>
        <c:auto val="1"/>
        <c:lblAlgn val="ctr"/>
        <c:lblOffset val="100"/>
        <c:noMultiLvlLbl val="0"/>
      </c:catAx>
      <c:valAx>
        <c:axId val="152948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4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[Car_Sales_Predictions_Portfolio.xlsx]Project3!PivotTable1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Project3!$B$3</c:f>
              <c:strCache>
                <c:ptCount val="1"/>
                <c:pt idx="0">
                  <c:v>Sum of Actual_2019_Growth_%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Project3!$A$4:$A$18</c:f>
              <c:multiLvlStrCache>
                <c:ptCount val="7"/>
                <c:lvl>
                  <c:pt idx="0">
                    <c:v>Classic Cars</c:v>
                  </c:pt>
                  <c:pt idx="1">
                    <c:v>Trucks and Buses</c:v>
                  </c:pt>
                  <c:pt idx="2">
                    <c:v>Planes</c:v>
                  </c:pt>
                  <c:pt idx="3">
                    <c:v>Planes</c:v>
                  </c:pt>
                  <c:pt idx="4">
                    <c:v>Motorcycles</c:v>
                  </c:pt>
                  <c:pt idx="5">
                    <c:v>Classic Cars</c:v>
                  </c:pt>
                  <c:pt idx="6">
                    <c:v>Trains</c:v>
                  </c:pt>
                </c:lvl>
                <c:lvl>
                  <c:pt idx="0">
                    <c:v>Belgium</c:v>
                  </c:pt>
                  <c:pt idx="1">
                    <c:v>Canada</c:v>
                  </c:pt>
                  <c:pt idx="2">
                    <c:v>France</c:v>
                  </c:pt>
                  <c:pt idx="3">
                    <c:v>Italy</c:v>
                  </c:pt>
                  <c:pt idx="4">
                    <c:v>Spain</c:v>
                  </c:pt>
                  <c:pt idx="5">
                    <c:v>Sweden</c:v>
                  </c:pt>
                  <c:pt idx="6">
                    <c:v>USA</c:v>
                  </c:pt>
                </c:lvl>
              </c:multiLvlStrCache>
            </c:multiLvlStrRef>
          </c:cat>
          <c:val>
            <c:numRef>
              <c:f>Project3!$B$4:$B$18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62.464213838260719</c:v>
                </c:pt>
                <c:pt idx="5">
                  <c:v>100</c:v>
                </c:pt>
                <c:pt idx="6">
                  <c:v>66.033234887203534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5-4DF8-9F58-340E866C83C2}"/>
            </c:ext>
          </c:extLst>
        </c:ser>
        <c:ser>
          <c:idx val="1"/>
          <c:order val="1"/>
          <c:tx>
            <c:strRef>
              <c:f>Project3!$C$3</c:f>
              <c:strCache>
                <c:ptCount val="1"/>
                <c:pt idx="0">
                  <c:v>Sum of Predicted_2020-21_Growth_%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Project3!$A$4:$A$18</c:f>
              <c:multiLvlStrCache>
                <c:ptCount val="7"/>
                <c:lvl>
                  <c:pt idx="0">
                    <c:v>Classic Cars</c:v>
                  </c:pt>
                  <c:pt idx="1">
                    <c:v>Trucks and Buses</c:v>
                  </c:pt>
                  <c:pt idx="2">
                    <c:v>Planes</c:v>
                  </c:pt>
                  <c:pt idx="3">
                    <c:v>Planes</c:v>
                  </c:pt>
                  <c:pt idx="4">
                    <c:v>Motorcycles</c:v>
                  </c:pt>
                  <c:pt idx="5">
                    <c:v>Classic Cars</c:v>
                  </c:pt>
                  <c:pt idx="6">
                    <c:v>Trains</c:v>
                  </c:pt>
                </c:lvl>
                <c:lvl>
                  <c:pt idx="0">
                    <c:v>Belgium</c:v>
                  </c:pt>
                  <c:pt idx="1">
                    <c:v>Canada</c:v>
                  </c:pt>
                  <c:pt idx="2">
                    <c:v>France</c:v>
                  </c:pt>
                  <c:pt idx="3">
                    <c:v>Italy</c:v>
                  </c:pt>
                  <c:pt idx="4">
                    <c:v>Spain</c:v>
                  </c:pt>
                  <c:pt idx="5">
                    <c:v>Sweden</c:v>
                  </c:pt>
                  <c:pt idx="6">
                    <c:v>USA</c:v>
                  </c:pt>
                </c:lvl>
              </c:multiLvlStrCache>
            </c:multiLvlStrRef>
          </c:cat>
          <c:val>
            <c:numRef>
              <c:f>Project3!$C$4:$C$18</c:f>
              <c:numCache>
                <c:formatCode>General</c:formatCode>
                <c:ptCount val="7"/>
                <c:pt idx="0">
                  <c:v>-68.709387183844854</c:v>
                </c:pt>
                <c:pt idx="1">
                  <c:v>-75.185411587948053</c:v>
                </c:pt>
                <c:pt idx="2">
                  <c:v>-62.319925127526851</c:v>
                </c:pt>
                <c:pt idx="3">
                  <c:v>-73.793064262580728</c:v>
                </c:pt>
                <c:pt idx="4">
                  <c:v>-39.539960656538561</c:v>
                </c:pt>
                <c:pt idx="5">
                  <c:v>-72.04637711920617</c:v>
                </c:pt>
                <c:pt idx="6">
                  <c:v>-68.071167478369262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55-4DF8-9F58-340E866C8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9486479"/>
        <c:axId val="1529494639"/>
        <c:axId val="0"/>
      </c:bar3DChart>
      <c:catAx>
        <c:axId val="152948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494639"/>
        <c:crosses val="autoZero"/>
        <c:auto val="1"/>
        <c:lblAlgn val="ctr"/>
        <c:lblOffset val="100"/>
        <c:noMultiLvlLbl val="0"/>
      </c:catAx>
      <c:valAx>
        <c:axId val="152949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48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137160</xdr:colOff>
      <xdr:row>2</xdr:row>
      <xdr:rowOff>91440</xdr:rowOff>
    </xdr:from>
    <xdr:ext cx="6210300" cy="370909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AB1075-FAD7-5DD8-EDD8-170B363BDC3B}"/>
            </a:ext>
          </a:extLst>
        </xdr:cNvPr>
        <xdr:cNvSpPr txBox="1"/>
      </xdr:nvSpPr>
      <xdr:spPr>
        <a:xfrm>
          <a:off x="7879080" y="457200"/>
          <a:ext cx="6210300" cy="37090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b="1">
              <a:solidFill>
                <a:srgbClr val="0070C0"/>
              </a:solidFill>
            </a:rPr>
            <a:t>BUSINESS INSIGHTS </a:t>
          </a:r>
        </a:p>
        <a:p>
          <a:r>
            <a:rPr lang="en-US" b="1"/>
            <a:t>2019 shows strong actual sales</a:t>
          </a:r>
          <a:r>
            <a:rPr lang="en-US"/>
            <a:t>, acting as a solid baseline year before forecasting began.</a:t>
          </a:r>
        </a:p>
        <a:p>
          <a:r>
            <a:rPr lang="en-US" b="1"/>
            <a:t>Predicted sales rise sharply from 2020 to 2022</a:t>
          </a:r>
          <a:r>
            <a:rPr lang="en-US"/>
            <a:t>, indicating expected demand growth over the forecast horizon.</a:t>
          </a:r>
        </a:p>
        <a:p>
          <a:r>
            <a:rPr lang="en-US" b="1"/>
            <a:t>Peak forecasted sales occur around 2022</a:t>
          </a:r>
          <a:r>
            <a:rPr lang="en-US"/>
            <a:t>, suggesting this is the highest-demand year.</a:t>
          </a:r>
        </a:p>
        <a:p>
          <a:r>
            <a:rPr lang="en-US" b="1"/>
            <a:t>Sales decline in 2023</a:t>
          </a:r>
          <a:r>
            <a:rPr lang="en-US"/>
            <a:t>, indicating possible market saturation, economic slowdown, or reduced demand.</a:t>
          </a:r>
        </a:p>
        <a:p>
          <a:r>
            <a:rPr lang="en-US" b="1"/>
            <a:t>Forecast values are significantly higher than historical actuals</a:t>
          </a:r>
          <a:r>
            <a:rPr lang="en-US"/>
            <a:t>, highlighting aggressive growth assumptions in the model.</a:t>
          </a:r>
        </a:p>
        <a:p>
          <a:r>
            <a:rPr lang="en-US" b="1"/>
            <a:t>Longer forecast horizon (months/years) aligns with increasing sales</a:t>
          </a:r>
          <a:r>
            <a:rPr lang="en-US"/>
            <a:t>, confirming seasonality and long-term demand patterns.</a:t>
          </a:r>
        </a:p>
        <a:p>
          <a:endParaRPr lang="en-US"/>
        </a:p>
        <a:p>
          <a:r>
            <a:rPr lang="en-US" b="1">
              <a:solidFill>
                <a:srgbClr val="0070C0"/>
              </a:solidFill>
            </a:rPr>
            <a:t>BUSINESS RECOMMENDATIONS</a:t>
          </a:r>
        </a:p>
        <a:p>
          <a:r>
            <a:rPr lang="en-US" b="1"/>
            <a:t>Scale inventory and production gradually from 2020 to 2022</a:t>
          </a:r>
          <a:r>
            <a:rPr lang="en-US"/>
            <a:t> to meet rising demand without overstocking.</a:t>
          </a:r>
        </a:p>
        <a:p>
          <a:r>
            <a:rPr lang="en-US" b="1"/>
            <a:t>Avoid overproduction in 2023</a:t>
          </a:r>
          <a:r>
            <a:rPr lang="en-US"/>
            <a:t>, as the forecast indicates a slowdown or correction in sales.</a:t>
          </a:r>
        </a:p>
        <a:p>
          <a:r>
            <a:rPr lang="en-US" b="1"/>
            <a:t>Focus marketing and dealer incentives ahead of the 2022 peak year</a:t>
          </a:r>
          <a:r>
            <a:rPr lang="en-US"/>
            <a:t> to maximize revenue.</a:t>
          </a:r>
        </a:p>
        <a:p>
          <a:r>
            <a:rPr lang="en-US" b="1"/>
            <a:t>Use rolling forecasts (quarterly updates)</a:t>
          </a:r>
          <a:r>
            <a:rPr lang="en-US"/>
            <a:t> to adjust predictions and reduce forecasting risk.</a:t>
          </a:r>
        </a:p>
        <a:p>
          <a:r>
            <a:rPr lang="en-US" b="1"/>
            <a:t>Monitor external factors (economy, fuel prices, regulations)</a:t>
          </a:r>
          <a:r>
            <a:rPr lang="en-US"/>
            <a:t> that could impact post-2022 demand.</a:t>
          </a:r>
        </a:p>
        <a:p>
          <a:r>
            <a:rPr lang="en-US" b="1"/>
            <a:t>Create contingency plans for excess inventory</a:t>
          </a:r>
          <a:r>
            <a:rPr lang="en-US"/>
            <a:t> in case forecasted growth does not fully materialize.</a:t>
          </a:r>
        </a:p>
        <a:p>
          <a:endParaRPr lang="en-US"/>
        </a:p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9</xdr:row>
      <xdr:rowOff>152400</xdr:rowOff>
    </xdr:from>
    <xdr:to>
      <xdr:col>5</xdr:col>
      <xdr:colOff>487680</xdr:colOff>
      <xdr:row>27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DD2FC5-B11A-433D-AEF0-AE4C4E62A1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373380</xdr:colOff>
      <xdr:row>1</xdr:row>
      <xdr:rowOff>144780</xdr:rowOff>
    </xdr:from>
    <xdr:ext cx="8991600" cy="30380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EF533C8-13E4-1BCB-C285-3564DEC46ACF}"/>
            </a:ext>
          </a:extLst>
        </xdr:cNvPr>
        <xdr:cNvSpPr txBox="1"/>
      </xdr:nvSpPr>
      <xdr:spPr>
        <a:xfrm>
          <a:off x="6713220" y="327660"/>
          <a:ext cx="8991600" cy="30380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b="1">
              <a:solidFill>
                <a:srgbClr val="0070C0"/>
              </a:solidFill>
            </a:rPr>
            <a:t>KEY BUSINESS INSIGHTS</a:t>
          </a:r>
        </a:p>
        <a:p>
          <a:r>
            <a:rPr lang="en-US" b="1"/>
            <a:t>Classic Cars remain the highest-revenue product line</a:t>
          </a:r>
          <a:r>
            <a:rPr lang="en-US"/>
            <a:t>, but show a </a:t>
          </a:r>
          <a:r>
            <a:rPr lang="en-US" b="1"/>
            <a:t>slight decline</a:t>
          </a:r>
          <a:r>
            <a:rPr lang="en-US"/>
            <a:t> in FY 2020–21, indicating early signs of demand softening.</a:t>
          </a:r>
        </a:p>
        <a:p>
          <a:r>
            <a:rPr lang="en-US" b="1"/>
            <a:t>Vintage Cars continue to perform strongly</a:t>
          </a:r>
          <a:r>
            <a:rPr lang="en-US"/>
            <a:t>, maintaining high sales with only a </a:t>
          </a:r>
          <a:r>
            <a:rPr lang="en-US" b="1"/>
            <a:t>minor drop</a:t>
          </a:r>
          <a:r>
            <a:rPr lang="en-US"/>
            <a:t>, showing stable demand.</a:t>
          </a:r>
        </a:p>
        <a:p>
          <a:r>
            <a:rPr lang="en-US" b="1"/>
            <a:t>Trucks and Buses show positive growth</a:t>
          </a:r>
          <a:r>
            <a:rPr lang="en-US"/>
            <a:t>, with FY 2020–21 predicted sales </a:t>
          </a:r>
          <a:r>
            <a:rPr lang="en-US" b="1"/>
            <a:t>higher than FY 2019</a:t>
          </a:r>
          <a:r>
            <a:rPr lang="en-US"/>
            <a:t>, indicating rising commercial demand.</a:t>
          </a:r>
        </a:p>
        <a:p>
          <a:r>
            <a:rPr lang="en-US" b="1"/>
            <a:t>Trains experience the strongest percentage growth</a:t>
          </a:r>
          <a:r>
            <a:rPr lang="en-US"/>
            <a:t>, despite lower absolute sales, suggesting an </a:t>
          </a:r>
          <a:r>
            <a:rPr lang="en-US" b="1"/>
            <a:t>emerging or fast-growing segment</a:t>
          </a:r>
          <a:r>
            <a:rPr lang="en-US"/>
            <a:t>.</a:t>
          </a:r>
        </a:p>
        <a:p>
          <a:r>
            <a:rPr lang="en-US" b="1"/>
            <a:t>Motorcycles and Planes show marginal decline</a:t>
          </a:r>
          <a:r>
            <a:rPr lang="en-US"/>
            <a:t>, indicating stagnation or maturity in these categories.</a:t>
          </a:r>
        </a:p>
        <a:p>
          <a:r>
            <a:rPr lang="en-US" b="1"/>
            <a:t>Ships maintain steady sales</a:t>
          </a:r>
          <a:r>
            <a:rPr lang="en-US"/>
            <a:t>, with limited growth, indicating a stable but non-expanding market.</a:t>
          </a:r>
        </a:p>
        <a:p>
          <a:endParaRPr lang="en-US"/>
        </a:p>
        <a:p>
          <a:endParaRPr lang="en-US"/>
        </a:p>
        <a:p>
          <a:r>
            <a:rPr lang="en-US" b="1">
              <a:solidFill>
                <a:srgbClr val="0070C0"/>
              </a:solidFill>
            </a:rPr>
            <a:t>BUSINESS RECOMMENDATIONS</a:t>
          </a:r>
        </a:p>
        <a:p>
          <a:r>
            <a:rPr lang="en-US" b="1"/>
            <a:t>Prioritize inventory and marketing spend on Trucks and Buses</a:t>
          </a:r>
          <a:r>
            <a:rPr lang="en-US"/>
            <a:t>, as they show consistent positive growth and strong future demand.</a:t>
          </a:r>
        </a:p>
        <a:p>
          <a:r>
            <a:rPr lang="en-US" b="1"/>
            <a:t>Treat Trains as a strategic growth opportunity</a:t>
          </a:r>
          <a:r>
            <a:rPr lang="en-US"/>
            <a:t>, investing in product development and market expansion despite smaller current volumes.</a:t>
          </a:r>
        </a:p>
        <a:p>
          <a:r>
            <a:rPr lang="en-US" b="1"/>
            <a:t>Optimize stock levels for Classic and Vintage Cars</a:t>
          </a:r>
          <a:r>
            <a:rPr lang="en-US"/>
            <a:t>, avoiding overproduction while maintaining premium positioning.</a:t>
          </a:r>
        </a:p>
        <a:p>
          <a:r>
            <a:rPr lang="en-US" b="1"/>
            <a:t>Re-evaluate pricing and promotions for Motorcycles and Planes</a:t>
          </a:r>
          <a:r>
            <a:rPr lang="en-US"/>
            <a:t> to stimulate demand or protect margins.</a:t>
          </a:r>
        </a:p>
        <a:p>
          <a:r>
            <a:rPr lang="en-US" b="1"/>
            <a:t>Maintain Ships as a stable revenue line</a:t>
          </a:r>
          <a:r>
            <a:rPr lang="en-US"/>
            <a:t>, focusing on cost efficiency rather than aggressive expansion.</a:t>
          </a:r>
        </a:p>
        <a:p>
          <a:r>
            <a:rPr lang="en-US" b="1"/>
            <a:t>Use product-wise forecasting regularly</a:t>
          </a:r>
          <a:r>
            <a:rPr lang="en-US"/>
            <a:t> to rebalance inventory and reduce holding costs.</a:t>
          </a:r>
        </a:p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11</xdr:row>
      <xdr:rowOff>114300</xdr:rowOff>
    </xdr:from>
    <xdr:to>
      <xdr:col>5</xdr:col>
      <xdr:colOff>541020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057C7C-CD48-5BD1-FD3B-565C0282E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45720</xdr:colOff>
      <xdr:row>1</xdr:row>
      <xdr:rowOff>129540</xdr:rowOff>
    </xdr:from>
    <xdr:ext cx="5958840" cy="3364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6FE2533-E724-C484-68E9-855E986D127B}"/>
            </a:ext>
          </a:extLst>
        </xdr:cNvPr>
        <xdr:cNvSpPr txBox="1"/>
      </xdr:nvSpPr>
      <xdr:spPr>
        <a:xfrm>
          <a:off x="6918960" y="312420"/>
          <a:ext cx="5958840" cy="3364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b="1">
              <a:solidFill>
                <a:srgbClr val="0070C0"/>
              </a:solidFill>
            </a:rPr>
            <a:t>BUSINESS INSIGHTS</a:t>
          </a:r>
        </a:p>
        <a:p>
          <a:endParaRPr lang="en-US" b="1"/>
        </a:p>
        <a:p>
          <a:r>
            <a:rPr lang="en-US"/>
            <a:t>In </a:t>
          </a:r>
          <a:r>
            <a:rPr lang="en-US" b="1"/>
            <a:t>2019, all countries had very good sales growth</a:t>
          </a:r>
          <a:r>
            <a:rPr lang="en-US"/>
            <a:t>.</a:t>
          </a:r>
        </a:p>
        <a:p>
          <a:r>
            <a:rPr lang="en-US"/>
            <a:t>This means </a:t>
          </a:r>
          <a:r>
            <a:rPr lang="en-US" b="1"/>
            <a:t>business was strong before forecasting</a:t>
          </a:r>
          <a:r>
            <a:rPr lang="en-US"/>
            <a:t>.</a:t>
          </a:r>
        </a:p>
        <a:p>
          <a:r>
            <a:rPr lang="en-US"/>
            <a:t>For </a:t>
          </a:r>
          <a:r>
            <a:rPr lang="en-US" b="1"/>
            <a:t>2020–21, sales are predicted to go down in every country</a:t>
          </a:r>
          <a:r>
            <a:rPr lang="en-US"/>
            <a:t>.</a:t>
          </a:r>
        </a:p>
        <a:p>
          <a:r>
            <a:rPr lang="en-US" b="1"/>
            <a:t>Spain is expected to fall the least</a:t>
          </a:r>
          <a:r>
            <a:rPr lang="en-US"/>
            <a:t>, so it is more stable.</a:t>
          </a:r>
        </a:p>
        <a:p>
          <a:r>
            <a:rPr lang="en-US" b="1"/>
            <a:t>Canada, Italy, and Sweden may face bigger sales drops</a:t>
          </a:r>
          <a:r>
            <a:rPr lang="en-US"/>
            <a:t>.</a:t>
          </a:r>
        </a:p>
        <a:p>
          <a:r>
            <a:rPr lang="en-US"/>
            <a:t>Even strong markets like the </a:t>
          </a:r>
          <a:r>
            <a:rPr lang="en-US" b="1"/>
            <a:t>USA may see lower sales</a:t>
          </a:r>
          <a:r>
            <a:rPr lang="en-US"/>
            <a:t>.</a:t>
          </a:r>
        </a:p>
        <a:p>
          <a:r>
            <a:rPr lang="en-US"/>
            <a:t>There is a </a:t>
          </a:r>
          <a:r>
            <a:rPr lang="en-US" b="1"/>
            <a:t>big difference between past growth and future prediction</a:t>
          </a:r>
          <a:r>
            <a:rPr lang="en-US"/>
            <a:t>, showing market risk.</a:t>
          </a:r>
        </a:p>
        <a:p>
          <a:endParaRPr lang="en-US"/>
        </a:p>
        <a:p>
          <a:r>
            <a:rPr lang="en-US" b="1">
              <a:solidFill>
                <a:srgbClr val="0070C0"/>
              </a:solidFill>
            </a:rPr>
            <a:t>BUSINESS RECOMMENDATIONS</a:t>
          </a:r>
        </a:p>
        <a:p>
          <a:endParaRPr lang="en-US" b="1"/>
        </a:p>
        <a:p>
          <a:r>
            <a:rPr lang="en-US" b="1"/>
            <a:t>Do not keep extra stock</a:t>
          </a:r>
          <a:r>
            <a:rPr lang="en-US"/>
            <a:t> for 2020–21.</a:t>
          </a:r>
        </a:p>
        <a:p>
          <a:r>
            <a:rPr lang="en-US" b="1"/>
            <a:t>Plan inventory carefully</a:t>
          </a:r>
          <a:r>
            <a:rPr lang="en-US"/>
            <a:t> because demand may be low.</a:t>
          </a:r>
        </a:p>
        <a:p>
          <a:r>
            <a:rPr lang="en-US" b="1"/>
            <a:t>Focus more on Spain</a:t>
          </a:r>
          <a:r>
            <a:rPr lang="en-US"/>
            <a:t>, as it looks safer than other countries.</a:t>
          </a:r>
        </a:p>
        <a:p>
          <a:r>
            <a:rPr lang="en-US" b="1"/>
            <a:t>Reduce marketing and stock</a:t>
          </a:r>
          <a:r>
            <a:rPr lang="en-US"/>
            <a:t> in high-risk countries.</a:t>
          </a:r>
        </a:p>
        <a:p>
          <a:r>
            <a:rPr lang="en-US" b="1"/>
            <a:t>Watch sales every month</a:t>
          </a:r>
          <a:r>
            <a:rPr lang="en-US"/>
            <a:t> and adjust plans quickly.</a:t>
          </a:r>
        </a:p>
        <a:p>
          <a:r>
            <a:rPr lang="en-US" b="1"/>
            <a:t>Focus on existing customers</a:t>
          </a:r>
          <a:r>
            <a:rPr lang="en-US"/>
            <a:t> instead of aggressive expansion.</a:t>
          </a:r>
        </a:p>
        <a:p>
          <a:endParaRPr 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2</xdr:row>
      <xdr:rowOff>83820</xdr:rowOff>
    </xdr:from>
    <xdr:to>
      <xdr:col>11</xdr:col>
      <xdr:colOff>259080</xdr:colOff>
      <xdr:row>19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B7CE8D-E2EB-AB71-864C-7D6292CDD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31.589265740738" createdVersion="8" refreshedVersion="8" minRefreshableVersion="3" recordCount="7" xr:uid="{CB620D52-0139-410C-B024-FE43AF82C897}">
  <cacheSource type="worksheet">
    <worksheetSource ref="A1:D8" sheet="Project_3_Country_Growth"/>
  </cacheSource>
  <cacheFields count="4">
    <cacheField name="COUNTRY" numFmtId="0">
      <sharedItems count="7">
        <s v="Belgium"/>
        <s v="Canada"/>
        <s v="France"/>
        <s v="Italy"/>
        <s v="Sweden"/>
        <s v="USA"/>
        <s v="Spain"/>
      </sharedItems>
    </cacheField>
    <cacheField name="Actual_2019_Growth_%" numFmtId="0">
      <sharedItems containsSemiMixedTypes="0" containsString="0" containsNumber="1" minValue="62.464213838260719" maxValue="100"/>
    </cacheField>
    <cacheField name="Predicted_2020-21_Growth_%" numFmtId="2">
      <sharedItems containsSemiMixedTypes="0" containsString="0" containsNumber="1" minValue="-75.185411587948053" maxValue="-39.539960656538561"/>
    </cacheField>
    <cacheField name="PRODUCTLINE" numFmtId="0">
      <sharedItems count="5">
        <s v="Classic Cars"/>
        <s v="Trucks and Buses"/>
        <s v="Planes"/>
        <s v="Trains"/>
        <s v="Motorcycl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31.594503356479" createdVersion="8" refreshedVersion="8" minRefreshableVersion="3" recordCount="7" xr:uid="{B61D5F25-2573-4AA4-B565-60631965493E}">
  <cacheSource type="worksheet">
    <worksheetSource ref="A1:E8" sheet="Project_2_Product_Growth"/>
  </cacheSource>
  <cacheFields count="5">
    <cacheField name="PRODUCTLINE" numFmtId="0">
      <sharedItems count="7">
        <s v="Classic Cars"/>
        <s v="Vintage Cars"/>
        <s v="Planes"/>
        <s v="Motorcycles"/>
        <s v="Trucks and Buses"/>
        <s v="Ships"/>
        <s v="Trains"/>
      </sharedItems>
    </cacheField>
    <cacheField name="FY 2019 Sales" numFmtId="0">
      <sharedItems containsSemiMixedTypes="0" containsString="0" containsNumber="1" containsInteger="1" minValue="1248" maxValue="15629"/>
    </cacheField>
    <cacheField name="FY 2020–21 Predicted" numFmtId="1">
      <sharedItems containsSemiMixedTypes="0" containsString="0" containsNumber="1" minValue="1695.234985351562" maxValue="14939.2412109375"/>
    </cacheField>
    <cacheField name="      Growth Units" numFmtId="2">
      <sharedItems containsSemiMixedTypes="0" containsString="0" containsNumber="1" containsInteger="1" minValue="-690" maxValue="447"/>
    </cacheField>
    <cacheField name="Growth %" numFmtId="0">
      <sharedItems containsSemiMixedTypes="0" containsString="0" containsNumber="1" minValue="-4.4000000000000004" maxValue="35.79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31.595956712961" createdVersion="8" refreshedVersion="8" minRefreshableVersion="3" recordCount="53" xr:uid="{1EE02625-2337-4558-A6D6-969A189A2C96}">
  <cacheSource type="worksheet">
    <worksheetSource ref="A1:E54" sheet="Project_1_Forecast"/>
  </cacheSource>
  <cacheFields count="8">
    <cacheField name="MONTH_DATE" numFmtId="164">
      <sharedItems containsSemiMixedTypes="0" containsNonDate="0" containsDate="1" containsString="0" minDate="2019-01-01T00:00:00" maxDate="2023-05-02T00:00:00" count="53"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</sharedItems>
      <fieldGroup par="7"/>
    </cacheField>
    <cacheField name="Actual_SALES" numFmtId="0">
      <sharedItems containsString="0" containsBlank="1" containsNumber="1" containsInteger="1" minValue="147621" maxValue="968344"/>
    </cacheField>
    <cacheField name="Predicted_SALES" numFmtId="0">
      <sharedItems containsString="0" containsBlank="1" containsNumber="1" minValue="235111.359375" maxValue="901227.375"/>
    </cacheField>
    <cacheField name="Forecast_Horizon_Month" numFmtId="0">
      <sharedItems containsString="0" containsBlank="1" containsNumber="1" containsInteger="1" minValue="1" maxValue="36"/>
    </cacheField>
    <cacheField name="Forecast_Year" numFmtId="0">
      <sharedItems containsString="0" containsBlank="1" containsNumber="1" containsInteger="1" minValue="2020" maxValue="2023"/>
    </cacheField>
    <cacheField name="Months (MONTH_DATE)" numFmtId="0" databaseField="0">
      <fieldGroup base="0">
        <rangePr groupBy="months" startDate="2019-01-01T00:00:00" endDate="2023-05-02T00:00:00"/>
        <groupItems count="14">
          <s v="&lt;01-01-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5-23"/>
        </groupItems>
      </fieldGroup>
    </cacheField>
    <cacheField name="Quarters (MONTH_DATE)" numFmtId="0" databaseField="0">
      <fieldGroup base="0">
        <rangePr groupBy="quarters" startDate="2019-01-01T00:00:00" endDate="2023-05-02T00:00:00"/>
        <groupItems count="6">
          <s v="&lt;01-01-19"/>
          <s v="Qtr1"/>
          <s v="Qtr2"/>
          <s v="Qtr3"/>
          <s v="Qtr4"/>
          <s v="&gt;02-05-23"/>
        </groupItems>
      </fieldGroup>
    </cacheField>
    <cacheField name="Years (MONTH_DATE)" numFmtId="0" databaseField="0">
      <fieldGroup base="0">
        <rangePr groupBy="years" startDate="2019-01-01T00:00:00" endDate="2023-05-02T00:00:00"/>
        <groupItems count="7">
          <s v="&lt;01-01-19"/>
          <s v="2019"/>
          <s v="2020"/>
          <s v="2021"/>
          <s v="2022"/>
          <s v="2023"/>
          <s v="&gt;02-05-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100"/>
    <n v="-68.709387183844854"/>
    <x v="0"/>
  </r>
  <r>
    <x v="1"/>
    <n v="100"/>
    <n v="-75.185411587948053"/>
    <x v="1"/>
  </r>
  <r>
    <x v="2"/>
    <n v="100"/>
    <n v="-62.319925127526851"/>
    <x v="2"/>
  </r>
  <r>
    <x v="3"/>
    <n v="100"/>
    <n v="-73.793064262580728"/>
    <x v="2"/>
  </r>
  <r>
    <x v="4"/>
    <n v="100"/>
    <n v="-72.04637711920617"/>
    <x v="0"/>
  </r>
  <r>
    <x v="5"/>
    <n v="66.033234887203534"/>
    <n v="-68.071167478369262"/>
    <x v="3"/>
  </r>
  <r>
    <x v="6"/>
    <n v="62.464213838260719"/>
    <n v="-39.539960656538561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15629"/>
    <n v="14939.2412109375"/>
    <n v="-690"/>
    <n v="-4.4000000000000004"/>
  </r>
  <r>
    <x v="1"/>
    <n v="9993"/>
    <n v="9809.0439453125"/>
    <n v="-184"/>
    <n v="-1.8"/>
  </r>
  <r>
    <x v="2"/>
    <n v="5945"/>
    <n v="5872.4658203125"/>
    <n v="-73"/>
    <n v="-1.2"/>
  </r>
  <r>
    <x v="3"/>
    <n v="5748"/>
    <n v="5762.05712890625"/>
    <n v="14"/>
    <n v="0.2"/>
  </r>
  <r>
    <x v="4"/>
    <n v="5198"/>
    <n v="5333.83447265625"/>
    <n v="136"/>
    <n v="2.6"/>
  </r>
  <r>
    <x v="5"/>
    <n v="4006"/>
    <n v="4125.82958984375"/>
    <n v="120"/>
    <n v="3"/>
  </r>
  <r>
    <x v="6"/>
    <n v="1248"/>
    <n v="1695.234985351562"/>
    <n v="447"/>
    <n v="35.79999999999999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n v="274549"/>
    <m/>
    <m/>
    <m/>
  </r>
  <r>
    <x v="1"/>
    <n v="277757"/>
    <m/>
    <m/>
    <m/>
  </r>
  <r>
    <x v="2"/>
    <n v="190893"/>
    <m/>
    <m/>
    <m/>
  </r>
  <r>
    <x v="3"/>
    <n v="200375"/>
    <m/>
    <m/>
    <m/>
  </r>
  <r>
    <x v="4"/>
    <n v="254672"/>
    <m/>
    <m/>
    <m/>
  </r>
  <r>
    <x v="5"/>
    <n v="270660"/>
    <m/>
    <m/>
    <m/>
  </r>
  <r>
    <x v="6"/>
    <n v="287520"/>
    <m/>
    <m/>
    <m/>
  </r>
  <r>
    <x v="7"/>
    <n v="443861"/>
    <m/>
    <m/>
    <m/>
  </r>
  <r>
    <x v="8"/>
    <n v="289131"/>
    <m/>
    <m/>
    <m/>
  </r>
  <r>
    <x v="9"/>
    <n v="488057"/>
    <m/>
    <m/>
    <m/>
  </r>
  <r>
    <x v="10"/>
    <n v="968344"/>
    <m/>
    <m/>
    <m/>
  </r>
  <r>
    <x v="11"/>
    <n v="363085"/>
    <m/>
    <m/>
    <m/>
  </r>
  <r>
    <x v="12"/>
    <n v="312954"/>
    <m/>
    <m/>
    <m/>
  </r>
  <r>
    <x v="13"/>
    <n v="285011"/>
    <m/>
    <m/>
    <m/>
  </r>
  <r>
    <x v="14"/>
    <n v="346879"/>
    <m/>
    <m/>
    <m/>
  </r>
  <r>
    <x v="15"/>
    <n v="147621"/>
    <m/>
    <m/>
    <m/>
  </r>
  <r>
    <x v="16"/>
    <n v="382134"/>
    <m/>
    <m/>
    <m/>
  </r>
  <r>
    <x v="17"/>
    <m/>
    <n v="301243.4375"/>
    <n v="1"/>
    <n v="2020"/>
  </r>
  <r>
    <x v="18"/>
    <m/>
    <n v="307990.90625"/>
    <n v="2"/>
    <n v="2020"/>
  </r>
  <r>
    <x v="19"/>
    <m/>
    <n v="309935.25"/>
    <n v="3"/>
    <n v="2020"/>
  </r>
  <r>
    <x v="20"/>
    <m/>
    <n v="531161.0625"/>
    <n v="4"/>
    <n v="2020"/>
  </r>
  <r>
    <x v="21"/>
    <m/>
    <n v="344683.34375"/>
    <n v="5"/>
    <n v="2020"/>
  </r>
  <r>
    <x v="22"/>
    <m/>
    <n v="499431.75"/>
    <n v="6"/>
    <n v="2020"/>
  </r>
  <r>
    <x v="23"/>
    <m/>
    <n v="901227.375"/>
    <n v="7"/>
    <n v="2020"/>
  </r>
  <r>
    <x v="24"/>
    <m/>
    <n v="390920.53125"/>
    <n v="8"/>
    <n v="2021"/>
  </r>
  <r>
    <x v="25"/>
    <m/>
    <n v="235111.359375"/>
    <n v="9"/>
    <n v="2021"/>
  </r>
  <r>
    <x v="26"/>
    <m/>
    <n v="273272.5625"/>
    <n v="10"/>
    <n v="2021"/>
  </r>
  <r>
    <x v="27"/>
    <m/>
    <n v="305934.71875"/>
    <n v="11"/>
    <n v="2021"/>
  </r>
  <r>
    <x v="28"/>
    <m/>
    <n v="310419.4375"/>
    <n v="12"/>
    <n v="2021"/>
  </r>
  <r>
    <x v="29"/>
    <m/>
    <n v="306403.34375"/>
    <n v="13"/>
    <n v="2021"/>
  </r>
  <r>
    <x v="30"/>
    <m/>
    <n v="303980.28125"/>
    <n v="14"/>
    <n v="2021"/>
  </r>
  <r>
    <x v="31"/>
    <m/>
    <n v="306839.0625"/>
    <n v="15"/>
    <n v="2021"/>
  </r>
  <r>
    <x v="32"/>
    <m/>
    <n v="534569.5625"/>
    <n v="16"/>
    <n v="2021"/>
  </r>
  <r>
    <x v="33"/>
    <m/>
    <n v="344015.5625"/>
    <n v="17"/>
    <n v="2021"/>
  </r>
  <r>
    <x v="34"/>
    <m/>
    <n v="486277.84375"/>
    <n v="18"/>
    <n v="2021"/>
  </r>
  <r>
    <x v="35"/>
    <m/>
    <n v="878653.375"/>
    <n v="19"/>
    <n v="2021"/>
  </r>
  <r>
    <x v="36"/>
    <m/>
    <n v="378226.59375"/>
    <n v="20"/>
    <n v="2022"/>
  </r>
  <r>
    <x v="37"/>
    <m/>
    <n v="315986.9375"/>
    <n v="21"/>
    <n v="2022"/>
  </r>
  <r>
    <x v="38"/>
    <m/>
    <n v="311859.625"/>
    <n v="22"/>
    <n v="2022"/>
  </r>
  <r>
    <x v="39"/>
    <m/>
    <n v="311860.0625"/>
    <n v="23"/>
    <n v="2022"/>
  </r>
  <r>
    <x v="40"/>
    <m/>
    <n v="309848.3125"/>
    <n v="24"/>
    <n v="2022"/>
  </r>
  <r>
    <x v="41"/>
    <m/>
    <n v="309848.3125"/>
    <n v="25"/>
    <n v="2022"/>
  </r>
  <r>
    <x v="42"/>
    <m/>
    <n v="309848.3125"/>
    <n v="26"/>
    <n v="2022"/>
  </r>
  <r>
    <x v="43"/>
    <m/>
    <n v="309848.3125"/>
    <n v="27"/>
    <n v="2022"/>
  </r>
  <r>
    <x v="44"/>
    <m/>
    <n v="534301.1875"/>
    <n v="28"/>
    <n v="2022"/>
  </r>
  <r>
    <x v="45"/>
    <m/>
    <n v="342260.4375"/>
    <n v="29"/>
    <n v="2022"/>
  </r>
  <r>
    <x v="46"/>
    <m/>
    <n v="499454.28125"/>
    <n v="30"/>
    <n v="2022"/>
  </r>
  <r>
    <x v="47"/>
    <m/>
    <n v="901227.375"/>
    <n v="31"/>
    <n v="2022"/>
  </r>
  <r>
    <x v="48"/>
    <m/>
    <n v="382156.9375"/>
    <n v="32"/>
    <n v="2023"/>
  </r>
  <r>
    <x v="49"/>
    <m/>
    <n v="316540.25"/>
    <n v="33"/>
    <n v="2023"/>
  </r>
  <r>
    <x v="50"/>
    <m/>
    <n v="312412.9375"/>
    <n v="34"/>
    <n v="2023"/>
  </r>
  <r>
    <x v="51"/>
    <m/>
    <n v="311860.0625"/>
    <n v="35"/>
    <n v="2023"/>
  </r>
  <r>
    <x v="52"/>
    <m/>
    <n v="309848.3125"/>
    <n v="36"/>
    <n v="20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2469F-9BDF-4B26-9CB7-0BB23891AFDC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YEAR_MONTH">
  <location ref="A3:E9" firstHeaderRow="0" firstDataRow="1" firstDataCol="1"/>
  <pivotFields count="8">
    <pivotField axis="axisRow" numFmtId="164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dataField="1" showAll="0"/>
    <pivotField dataField="1" showAll="0"/>
    <pivotField dataField="1"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4">
    <field x="7"/>
    <field x="6"/>
    <field x="5"/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ctual_SALES" fld="1" baseField="0" baseItem="0"/>
    <dataField name="Sum of Predicted_SALES" fld="2" baseField="0" baseItem="0"/>
    <dataField name="Sum of Forecast_Horizon_Month" fld="3" baseField="0" baseItem="0"/>
    <dataField name="Sum of Forecast_Year" fld="4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793CBA-5263-4C41-9BD8-79BB10130DE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LINE">
  <location ref="A3:E11" firstHeaderRow="0" firstDataRow="1" firstDataCol="1"/>
  <pivotFields count="5">
    <pivotField axis="axisRow" showAll="0">
      <items count="8">
        <item x="0"/>
        <item x="3"/>
        <item x="2"/>
        <item x="5"/>
        <item x="6"/>
        <item x="4"/>
        <item x="1"/>
        <item t="default"/>
      </items>
    </pivotField>
    <pivotField dataField="1" showAll="0"/>
    <pivotField dataField="1" numFmtId="1" showAll="0"/>
    <pivotField dataField="1" numFmtId="2"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FY 2019 Sales" fld="1" baseField="0" baseItem="0"/>
    <dataField name="Sum of FY 2020–21 Predicted" fld="2" baseField="0" baseItem="0"/>
    <dataField name="Sum of       Growth Units" fld="3" baseField="0" baseItem="0"/>
    <dataField name="Sum of Growth %" fld="4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52565-684D-4ED3-A70C-8687799D1502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ountry">
  <location ref="A3:C18" firstHeaderRow="0" firstDataRow="1" firstDataCol="1"/>
  <pivotFields count="4">
    <pivotField axis="axisRow" showAll="0">
      <items count="8">
        <item x="0"/>
        <item x="1"/>
        <item x="2"/>
        <item x="3"/>
        <item x="6"/>
        <item x="4"/>
        <item x="5"/>
        <item t="default"/>
      </items>
    </pivotField>
    <pivotField dataField="1" showAll="0"/>
    <pivotField dataField="1" numFmtId="2" showAll="0"/>
    <pivotField axis="axisRow" showAll="0">
      <items count="6">
        <item x="0"/>
        <item x="4"/>
        <item x="2"/>
        <item x="3"/>
        <item x="1"/>
        <item t="default"/>
      </items>
    </pivotField>
  </pivotFields>
  <rowFields count="2">
    <field x="0"/>
    <field x="3"/>
  </rowFields>
  <rowItems count="15">
    <i>
      <x/>
    </i>
    <i r="1">
      <x/>
    </i>
    <i>
      <x v="1"/>
    </i>
    <i r="1">
      <x v="4"/>
    </i>
    <i>
      <x v="2"/>
    </i>
    <i r="1">
      <x v="2"/>
    </i>
    <i>
      <x v="3"/>
    </i>
    <i r="1">
      <x v="2"/>
    </i>
    <i>
      <x v="4"/>
    </i>
    <i r="1">
      <x v="1"/>
    </i>
    <i>
      <x v="5"/>
    </i>
    <i r="1">
      <x/>
    </i>
    <i>
      <x v="6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_2019_Growth_%" fld="1" baseField="0" baseItem="0"/>
    <dataField name="Sum of Predicted_2020-21_Growth_%" fld="2" baseField="0" baseItem="0"/>
  </dataFields>
  <chartFormats count="4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workbookViewId="0">
      <selection activeCell="I8" sqref="I8"/>
    </sheetView>
  </sheetViews>
  <sheetFormatPr defaultRowHeight="14.4" x14ac:dyDescent="0.3"/>
  <cols>
    <col min="1" max="1" width="30.6640625" customWidth="1"/>
    <col min="2" max="2" width="16.6640625" customWidth="1"/>
    <col min="3" max="3" width="19.33203125" customWidth="1"/>
    <col min="4" max="4" width="22" customWidth="1"/>
    <col min="5" max="5" width="24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43466</v>
      </c>
      <c r="B2">
        <v>274549</v>
      </c>
    </row>
    <row r="3" spans="1:5" x14ac:dyDescent="0.3">
      <c r="A3" s="2">
        <v>43497</v>
      </c>
      <c r="B3">
        <v>277757</v>
      </c>
    </row>
    <row r="4" spans="1:5" x14ac:dyDescent="0.3">
      <c r="A4" s="2">
        <v>43525</v>
      </c>
      <c r="B4">
        <v>190893</v>
      </c>
    </row>
    <row r="5" spans="1:5" x14ac:dyDescent="0.3">
      <c r="A5" s="2">
        <v>43556</v>
      </c>
      <c r="B5">
        <v>200375</v>
      </c>
    </row>
    <row r="6" spans="1:5" x14ac:dyDescent="0.3">
      <c r="A6" s="2">
        <v>43586</v>
      </c>
      <c r="B6">
        <v>254672</v>
      </c>
    </row>
    <row r="7" spans="1:5" x14ac:dyDescent="0.3">
      <c r="A7" s="2">
        <v>43617</v>
      </c>
      <c r="B7">
        <v>270660</v>
      </c>
    </row>
    <row r="8" spans="1:5" x14ac:dyDescent="0.3">
      <c r="A8" s="2">
        <v>43647</v>
      </c>
      <c r="B8">
        <v>287520</v>
      </c>
    </row>
    <row r="9" spans="1:5" x14ac:dyDescent="0.3">
      <c r="A9" s="2">
        <v>43678</v>
      </c>
      <c r="B9">
        <v>443861</v>
      </c>
    </row>
    <row r="10" spans="1:5" x14ac:dyDescent="0.3">
      <c r="A10" s="2">
        <v>43709</v>
      </c>
      <c r="B10">
        <v>289131</v>
      </c>
    </row>
    <row r="11" spans="1:5" x14ac:dyDescent="0.3">
      <c r="A11" s="2">
        <v>43739</v>
      </c>
      <c r="B11">
        <v>488057</v>
      </c>
    </row>
    <row r="12" spans="1:5" x14ac:dyDescent="0.3">
      <c r="A12" s="2">
        <v>43770</v>
      </c>
      <c r="B12">
        <v>968344</v>
      </c>
    </row>
    <row r="13" spans="1:5" x14ac:dyDescent="0.3">
      <c r="A13" s="2">
        <v>43800</v>
      </c>
      <c r="B13">
        <v>363085</v>
      </c>
    </row>
    <row r="14" spans="1:5" x14ac:dyDescent="0.3">
      <c r="A14" s="2">
        <v>43831</v>
      </c>
      <c r="B14">
        <v>312954</v>
      </c>
    </row>
    <row r="15" spans="1:5" x14ac:dyDescent="0.3">
      <c r="A15" s="2">
        <v>43862</v>
      </c>
      <c r="B15">
        <v>285011</v>
      </c>
    </row>
    <row r="16" spans="1:5" x14ac:dyDescent="0.3">
      <c r="A16" s="2">
        <v>43891</v>
      </c>
      <c r="B16">
        <v>346879</v>
      </c>
    </row>
    <row r="17" spans="1:5" x14ac:dyDescent="0.3">
      <c r="A17" s="2">
        <v>43922</v>
      </c>
      <c r="B17">
        <v>147621</v>
      </c>
    </row>
    <row r="18" spans="1:5" x14ac:dyDescent="0.3">
      <c r="A18" s="2">
        <v>43952</v>
      </c>
      <c r="B18">
        <v>382134</v>
      </c>
    </row>
    <row r="19" spans="1:5" x14ac:dyDescent="0.3">
      <c r="A19" s="2">
        <v>43983</v>
      </c>
      <c r="C19">
        <v>301243.4375</v>
      </c>
      <c r="D19">
        <v>1</v>
      </c>
      <c r="E19">
        <v>2020</v>
      </c>
    </row>
    <row r="20" spans="1:5" x14ac:dyDescent="0.3">
      <c r="A20" s="2">
        <v>44013</v>
      </c>
      <c r="C20">
        <v>307990.90625</v>
      </c>
      <c r="D20">
        <v>2</v>
      </c>
      <c r="E20">
        <v>2020</v>
      </c>
    </row>
    <row r="21" spans="1:5" x14ac:dyDescent="0.3">
      <c r="A21" s="2">
        <v>44044</v>
      </c>
      <c r="C21">
        <v>309935.25</v>
      </c>
      <c r="D21">
        <v>3</v>
      </c>
      <c r="E21">
        <v>2020</v>
      </c>
    </row>
    <row r="22" spans="1:5" x14ac:dyDescent="0.3">
      <c r="A22" s="2">
        <v>44075</v>
      </c>
      <c r="C22">
        <v>531161.0625</v>
      </c>
      <c r="D22">
        <v>4</v>
      </c>
      <c r="E22">
        <v>2020</v>
      </c>
    </row>
    <row r="23" spans="1:5" x14ac:dyDescent="0.3">
      <c r="A23" s="2">
        <v>44105</v>
      </c>
      <c r="C23">
        <v>344683.34375</v>
      </c>
      <c r="D23">
        <v>5</v>
      </c>
      <c r="E23">
        <v>2020</v>
      </c>
    </row>
    <row r="24" spans="1:5" x14ac:dyDescent="0.3">
      <c r="A24" s="2">
        <v>44136</v>
      </c>
      <c r="C24">
        <v>499431.75</v>
      </c>
      <c r="D24">
        <v>6</v>
      </c>
      <c r="E24">
        <v>2020</v>
      </c>
    </row>
    <row r="25" spans="1:5" x14ac:dyDescent="0.3">
      <c r="A25" s="2">
        <v>44166</v>
      </c>
      <c r="C25">
        <v>901227.375</v>
      </c>
      <c r="D25">
        <v>7</v>
      </c>
      <c r="E25">
        <v>2020</v>
      </c>
    </row>
    <row r="26" spans="1:5" x14ac:dyDescent="0.3">
      <c r="A26" s="2">
        <v>44197</v>
      </c>
      <c r="C26">
        <v>390920.53125</v>
      </c>
      <c r="D26">
        <v>8</v>
      </c>
      <c r="E26">
        <v>2021</v>
      </c>
    </row>
    <row r="27" spans="1:5" x14ac:dyDescent="0.3">
      <c r="A27" s="2">
        <v>44228</v>
      </c>
      <c r="C27">
        <v>235111.359375</v>
      </c>
      <c r="D27">
        <v>9</v>
      </c>
      <c r="E27">
        <v>2021</v>
      </c>
    </row>
    <row r="28" spans="1:5" x14ac:dyDescent="0.3">
      <c r="A28" s="2">
        <v>44256</v>
      </c>
      <c r="C28">
        <v>273272.5625</v>
      </c>
      <c r="D28">
        <v>10</v>
      </c>
      <c r="E28">
        <v>2021</v>
      </c>
    </row>
    <row r="29" spans="1:5" x14ac:dyDescent="0.3">
      <c r="A29" s="2">
        <v>44287</v>
      </c>
      <c r="C29">
        <v>305934.71875</v>
      </c>
      <c r="D29">
        <v>11</v>
      </c>
      <c r="E29">
        <v>2021</v>
      </c>
    </row>
    <row r="30" spans="1:5" x14ac:dyDescent="0.3">
      <c r="A30" s="2">
        <v>44317</v>
      </c>
      <c r="C30">
        <v>310419.4375</v>
      </c>
      <c r="D30">
        <v>12</v>
      </c>
      <c r="E30">
        <v>2021</v>
      </c>
    </row>
    <row r="31" spans="1:5" x14ac:dyDescent="0.3">
      <c r="A31" s="2">
        <v>44348</v>
      </c>
      <c r="C31">
        <v>306403.34375</v>
      </c>
      <c r="D31">
        <v>13</v>
      </c>
      <c r="E31">
        <v>2021</v>
      </c>
    </row>
    <row r="32" spans="1:5" x14ac:dyDescent="0.3">
      <c r="A32" s="2">
        <v>44378</v>
      </c>
      <c r="C32">
        <v>303980.28125</v>
      </c>
      <c r="D32">
        <v>14</v>
      </c>
      <c r="E32">
        <v>2021</v>
      </c>
    </row>
    <row r="33" spans="1:5" x14ac:dyDescent="0.3">
      <c r="A33" s="2">
        <v>44409</v>
      </c>
      <c r="C33">
        <v>306839.0625</v>
      </c>
      <c r="D33">
        <v>15</v>
      </c>
      <c r="E33">
        <v>2021</v>
      </c>
    </row>
    <row r="34" spans="1:5" x14ac:dyDescent="0.3">
      <c r="A34" s="2">
        <v>44440</v>
      </c>
      <c r="C34">
        <v>534569.5625</v>
      </c>
      <c r="D34">
        <v>16</v>
      </c>
      <c r="E34">
        <v>2021</v>
      </c>
    </row>
    <row r="35" spans="1:5" x14ac:dyDescent="0.3">
      <c r="A35" s="2">
        <v>44470</v>
      </c>
      <c r="C35">
        <v>344015.5625</v>
      </c>
      <c r="D35">
        <v>17</v>
      </c>
      <c r="E35">
        <v>2021</v>
      </c>
    </row>
    <row r="36" spans="1:5" x14ac:dyDescent="0.3">
      <c r="A36" s="2">
        <v>44501</v>
      </c>
      <c r="C36">
        <v>486277.84375</v>
      </c>
      <c r="D36">
        <v>18</v>
      </c>
      <c r="E36">
        <v>2021</v>
      </c>
    </row>
    <row r="37" spans="1:5" x14ac:dyDescent="0.3">
      <c r="A37" s="2">
        <v>44531</v>
      </c>
      <c r="C37">
        <v>878653.375</v>
      </c>
      <c r="D37">
        <v>19</v>
      </c>
      <c r="E37">
        <v>2021</v>
      </c>
    </row>
    <row r="38" spans="1:5" x14ac:dyDescent="0.3">
      <c r="A38" s="2">
        <v>44562</v>
      </c>
      <c r="C38">
        <v>378226.59375</v>
      </c>
      <c r="D38">
        <v>20</v>
      </c>
      <c r="E38">
        <v>2022</v>
      </c>
    </row>
    <row r="39" spans="1:5" x14ac:dyDescent="0.3">
      <c r="A39" s="2">
        <v>44593</v>
      </c>
      <c r="C39">
        <v>315986.9375</v>
      </c>
      <c r="D39">
        <v>21</v>
      </c>
      <c r="E39">
        <v>2022</v>
      </c>
    </row>
    <row r="40" spans="1:5" x14ac:dyDescent="0.3">
      <c r="A40" s="2">
        <v>44621</v>
      </c>
      <c r="C40">
        <v>311859.625</v>
      </c>
      <c r="D40">
        <v>22</v>
      </c>
      <c r="E40">
        <v>2022</v>
      </c>
    </row>
    <row r="41" spans="1:5" x14ac:dyDescent="0.3">
      <c r="A41" s="2">
        <v>44652</v>
      </c>
      <c r="C41">
        <v>311860.0625</v>
      </c>
      <c r="D41">
        <v>23</v>
      </c>
      <c r="E41">
        <v>2022</v>
      </c>
    </row>
    <row r="42" spans="1:5" x14ac:dyDescent="0.3">
      <c r="A42" s="2">
        <v>44682</v>
      </c>
      <c r="C42">
        <v>309848.3125</v>
      </c>
      <c r="D42">
        <v>24</v>
      </c>
      <c r="E42">
        <v>2022</v>
      </c>
    </row>
    <row r="43" spans="1:5" x14ac:dyDescent="0.3">
      <c r="A43" s="2">
        <v>44713</v>
      </c>
      <c r="C43">
        <v>309848.3125</v>
      </c>
      <c r="D43">
        <v>25</v>
      </c>
      <c r="E43">
        <v>2022</v>
      </c>
    </row>
    <row r="44" spans="1:5" x14ac:dyDescent="0.3">
      <c r="A44" s="2">
        <v>44743</v>
      </c>
      <c r="C44">
        <v>309848.3125</v>
      </c>
      <c r="D44">
        <v>26</v>
      </c>
      <c r="E44">
        <v>2022</v>
      </c>
    </row>
    <row r="45" spans="1:5" x14ac:dyDescent="0.3">
      <c r="A45" s="2">
        <v>44774</v>
      </c>
      <c r="C45">
        <v>309848.3125</v>
      </c>
      <c r="D45">
        <v>27</v>
      </c>
      <c r="E45">
        <v>2022</v>
      </c>
    </row>
    <row r="46" spans="1:5" x14ac:dyDescent="0.3">
      <c r="A46" s="2">
        <v>44805</v>
      </c>
      <c r="C46">
        <v>534301.1875</v>
      </c>
      <c r="D46">
        <v>28</v>
      </c>
      <c r="E46">
        <v>2022</v>
      </c>
    </row>
    <row r="47" spans="1:5" x14ac:dyDescent="0.3">
      <c r="A47" s="2">
        <v>44835</v>
      </c>
      <c r="C47">
        <v>342260.4375</v>
      </c>
      <c r="D47">
        <v>29</v>
      </c>
      <c r="E47">
        <v>2022</v>
      </c>
    </row>
    <row r="48" spans="1:5" x14ac:dyDescent="0.3">
      <c r="A48" s="2">
        <v>44866</v>
      </c>
      <c r="C48">
        <v>499454.28125</v>
      </c>
      <c r="D48">
        <v>30</v>
      </c>
      <c r="E48">
        <v>2022</v>
      </c>
    </row>
    <row r="49" spans="1:5" x14ac:dyDescent="0.3">
      <c r="A49" s="2">
        <v>44896</v>
      </c>
      <c r="C49">
        <v>901227.375</v>
      </c>
      <c r="D49">
        <v>31</v>
      </c>
      <c r="E49">
        <v>2022</v>
      </c>
    </row>
    <row r="50" spans="1:5" x14ac:dyDescent="0.3">
      <c r="A50" s="2">
        <v>44927</v>
      </c>
      <c r="C50">
        <v>382156.9375</v>
      </c>
      <c r="D50">
        <v>32</v>
      </c>
      <c r="E50">
        <v>2023</v>
      </c>
    </row>
    <row r="51" spans="1:5" x14ac:dyDescent="0.3">
      <c r="A51" s="2">
        <v>44958</v>
      </c>
      <c r="C51">
        <v>316540.25</v>
      </c>
      <c r="D51">
        <v>33</v>
      </c>
      <c r="E51">
        <v>2023</v>
      </c>
    </row>
    <row r="52" spans="1:5" x14ac:dyDescent="0.3">
      <c r="A52" s="2">
        <v>44986</v>
      </c>
      <c r="C52">
        <v>312412.9375</v>
      </c>
      <c r="D52">
        <v>34</v>
      </c>
      <c r="E52">
        <v>2023</v>
      </c>
    </row>
    <row r="53" spans="1:5" x14ac:dyDescent="0.3">
      <c r="A53" s="2">
        <v>45017</v>
      </c>
      <c r="C53">
        <v>311860.0625</v>
      </c>
      <c r="D53">
        <v>35</v>
      </c>
      <c r="E53">
        <v>2023</v>
      </c>
    </row>
    <row r="54" spans="1:5" x14ac:dyDescent="0.3">
      <c r="A54" s="2">
        <v>45047</v>
      </c>
      <c r="C54">
        <v>309848.3125</v>
      </c>
      <c r="D54">
        <v>36</v>
      </c>
      <c r="E54">
        <v>2023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DB25B-FE31-4BCE-B580-DEF16528A00D}">
  <dimension ref="A3:E9"/>
  <sheetViews>
    <sheetView workbookViewId="0">
      <selection activeCell="H3" sqref="H3"/>
    </sheetView>
  </sheetViews>
  <sheetFormatPr defaultRowHeight="14.4" x14ac:dyDescent="0.3"/>
  <cols>
    <col min="1" max="1" width="15" customWidth="1"/>
    <col min="2" max="2" width="20.88671875" customWidth="1"/>
    <col min="3" max="3" width="25.44140625" customWidth="1"/>
    <col min="4" max="4" width="32.6640625" customWidth="1"/>
    <col min="5" max="5" width="19.33203125" bestFit="1" customWidth="1"/>
  </cols>
  <sheetData>
    <row r="3" spans="1:5" x14ac:dyDescent="0.3">
      <c r="A3" s="8" t="s">
        <v>52</v>
      </c>
      <c r="B3" t="s">
        <v>48</v>
      </c>
      <c r="C3" t="s">
        <v>49</v>
      </c>
      <c r="D3" t="s">
        <v>50</v>
      </c>
      <c r="E3" t="s">
        <v>51</v>
      </c>
    </row>
    <row r="4" spans="1:5" x14ac:dyDescent="0.3">
      <c r="A4" s="9" t="s">
        <v>43</v>
      </c>
      <c r="B4" s="7">
        <v>4308904</v>
      </c>
      <c r="C4" s="7"/>
      <c r="D4" s="7"/>
      <c r="E4" s="7"/>
    </row>
    <row r="5" spans="1:5" x14ac:dyDescent="0.3">
      <c r="A5" s="9" t="s">
        <v>44</v>
      </c>
      <c r="B5" s="7">
        <v>1474599</v>
      </c>
      <c r="C5" s="7">
        <v>3195673.125</v>
      </c>
      <c r="D5" s="7">
        <v>28</v>
      </c>
      <c r="E5" s="7">
        <v>14140</v>
      </c>
    </row>
    <row r="6" spans="1:5" x14ac:dyDescent="0.3">
      <c r="A6" s="9" t="s">
        <v>45</v>
      </c>
      <c r="B6" s="7"/>
      <c r="C6" s="7">
        <v>4676397.640625</v>
      </c>
      <c r="D6" s="7">
        <v>162</v>
      </c>
      <c r="E6" s="7">
        <v>24252</v>
      </c>
    </row>
    <row r="7" spans="1:5" x14ac:dyDescent="0.3">
      <c r="A7" s="9" t="s">
        <v>46</v>
      </c>
      <c r="B7" s="7"/>
      <c r="C7" s="7">
        <v>4834569.75</v>
      </c>
      <c r="D7" s="7">
        <v>306</v>
      </c>
      <c r="E7" s="7">
        <v>24264</v>
      </c>
    </row>
    <row r="8" spans="1:5" x14ac:dyDescent="0.3">
      <c r="A8" s="9" t="s">
        <v>47</v>
      </c>
      <c r="B8" s="7"/>
      <c r="C8" s="7">
        <v>1632818.5</v>
      </c>
      <c r="D8" s="7">
        <v>170</v>
      </c>
      <c r="E8" s="7">
        <v>10115</v>
      </c>
    </row>
    <row r="9" spans="1:5" x14ac:dyDescent="0.3">
      <c r="A9" s="9" t="s">
        <v>35</v>
      </c>
      <c r="B9" s="7">
        <v>5783503</v>
      </c>
      <c r="C9" s="7">
        <v>14339459.015625</v>
      </c>
      <c r="D9" s="7">
        <v>666</v>
      </c>
      <c r="E9" s="7">
        <v>72771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opLeftCell="B1" workbookViewId="0">
      <selection activeCell="P22" sqref="P22"/>
    </sheetView>
  </sheetViews>
  <sheetFormatPr defaultRowHeight="14.4" x14ac:dyDescent="0.3"/>
  <cols>
    <col min="1" max="1" width="26.33203125" customWidth="1"/>
    <col min="2" max="2" width="12" customWidth="1"/>
    <col min="3" max="3" width="21.21875" customWidth="1"/>
    <col min="4" max="4" width="21.21875" style="4" customWidth="1"/>
    <col min="5" max="5" width="11.6640625" style="7" customWidth="1"/>
  </cols>
  <sheetData>
    <row r="1" spans="1:5" x14ac:dyDescent="0.3">
      <c r="A1" s="1" t="s">
        <v>5</v>
      </c>
      <c r="B1" s="1" t="s">
        <v>6</v>
      </c>
      <c r="C1" s="1" t="s">
        <v>7</v>
      </c>
      <c r="D1" s="3" t="s">
        <v>34</v>
      </c>
      <c r="E1" s="6" t="s">
        <v>8</v>
      </c>
    </row>
    <row r="2" spans="1:5" x14ac:dyDescent="0.3">
      <c r="A2" t="s">
        <v>9</v>
      </c>
      <c r="B2">
        <v>15629</v>
      </c>
      <c r="C2" s="5">
        <v>14939.2412109375</v>
      </c>
      <c r="D2" s="4">
        <f>ROUND(C2-B2,0)</f>
        <v>-690</v>
      </c>
      <c r="E2" s="7">
        <v>-4.4000000000000004</v>
      </c>
    </row>
    <row r="3" spans="1:5" x14ac:dyDescent="0.3">
      <c r="A3" t="s">
        <v>10</v>
      </c>
      <c r="B3">
        <v>9993</v>
      </c>
      <c r="C3" s="5">
        <v>9809.0439453125</v>
      </c>
      <c r="D3" s="4">
        <f t="shared" ref="D3:D8" si="0">ROUND(C3-B3,0)</f>
        <v>-184</v>
      </c>
      <c r="E3" s="7">
        <v>-1.8</v>
      </c>
    </row>
    <row r="4" spans="1:5" x14ac:dyDescent="0.3">
      <c r="A4" t="s">
        <v>11</v>
      </c>
      <c r="B4">
        <v>5945</v>
      </c>
      <c r="C4" s="5">
        <v>5872.4658203125</v>
      </c>
      <c r="D4" s="4">
        <f t="shared" si="0"/>
        <v>-73</v>
      </c>
      <c r="E4" s="7">
        <v>-1.2</v>
      </c>
    </row>
    <row r="5" spans="1:5" x14ac:dyDescent="0.3">
      <c r="A5" t="s">
        <v>12</v>
      </c>
      <c r="B5">
        <v>5748</v>
      </c>
      <c r="C5" s="5">
        <v>5762.05712890625</v>
      </c>
      <c r="D5" s="4">
        <f t="shared" si="0"/>
        <v>14</v>
      </c>
      <c r="E5" s="7">
        <v>0.2</v>
      </c>
    </row>
    <row r="6" spans="1:5" x14ac:dyDescent="0.3">
      <c r="A6" t="s">
        <v>13</v>
      </c>
      <c r="B6">
        <v>5198</v>
      </c>
      <c r="C6" s="5">
        <v>5333.83447265625</v>
      </c>
      <c r="D6" s="4">
        <f t="shared" si="0"/>
        <v>136</v>
      </c>
      <c r="E6" s="7">
        <v>2.6</v>
      </c>
    </row>
    <row r="7" spans="1:5" x14ac:dyDescent="0.3">
      <c r="A7" t="s">
        <v>14</v>
      </c>
      <c r="B7">
        <v>4006</v>
      </c>
      <c r="C7" s="5">
        <v>4125.82958984375</v>
      </c>
      <c r="D7" s="4">
        <f t="shared" si="0"/>
        <v>120</v>
      </c>
      <c r="E7" s="5">
        <v>3</v>
      </c>
    </row>
    <row r="8" spans="1:5" x14ac:dyDescent="0.3">
      <c r="A8" t="s">
        <v>15</v>
      </c>
      <c r="B8">
        <v>1248</v>
      </c>
      <c r="C8" s="5">
        <v>1695.234985351562</v>
      </c>
      <c r="D8" s="4">
        <f t="shared" si="0"/>
        <v>447</v>
      </c>
      <c r="E8" s="7">
        <v>35.799999999999997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A4682-AD78-4DDB-95B6-33B8E2EAB030}">
  <dimension ref="A3:E11"/>
  <sheetViews>
    <sheetView tabSelected="1" workbookViewId="0">
      <selection activeCell="G8" sqref="G8"/>
    </sheetView>
  </sheetViews>
  <sheetFormatPr defaultRowHeight="14.4" x14ac:dyDescent="0.3"/>
  <cols>
    <col min="1" max="1" width="24" customWidth="1"/>
    <col min="2" max="2" width="26.109375" customWidth="1"/>
    <col min="3" max="3" width="32.109375" customWidth="1"/>
    <col min="4" max="4" width="21.44140625" bestFit="1" customWidth="1"/>
    <col min="5" max="5" width="23.5546875" customWidth="1"/>
  </cols>
  <sheetData>
    <row r="3" spans="1:5" x14ac:dyDescent="0.3">
      <c r="A3" s="8" t="s">
        <v>5</v>
      </c>
      <c r="B3" t="s">
        <v>39</v>
      </c>
      <c r="C3" t="s">
        <v>40</v>
      </c>
      <c r="D3" t="s">
        <v>41</v>
      </c>
      <c r="E3" t="s">
        <v>42</v>
      </c>
    </row>
    <row r="4" spans="1:5" x14ac:dyDescent="0.3">
      <c r="A4" s="9" t="s">
        <v>9</v>
      </c>
      <c r="B4" s="7">
        <v>15629</v>
      </c>
      <c r="C4" s="7">
        <v>14939.2412109375</v>
      </c>
      <c r="D4" s="7">
        <v>-690</v>
      </c>
      <c r="E4" s="7">
        <v>-4.4000000000000004</v>
      </c>
    </row>
    <row r="5" spans="1:5" x14ac:dyDescent="0.3">
      <c r="A5" s="9" t="s">
        <v>12</v>
      </c>
      <c r="B5" s="7">
        <v>5748</v>
      </c>
      <c r="C5" s="7">
        <v>5762.05712890625</v>
      </c>
      <c r="D5" s="7">
        <v>14</v>
      </c>
      <c r="E5" s="7">
        <v>0.2</v>
      </c>
    </row>
    <row r="6" spans="1:5" x14ac:dyDescent="0.3">
      <c r="A6" s="9" t="s">
        <v>11</v>
      </c>
      <c r="B6" s="7">
        <v>5945</v>
      </c>
      <c r="C6" s="7">
        <v>5872.4658203125</v>
      </c>
      <c r="D6" s="7">
        <v>-73</v>
      </c>
      <c r="E6" s="7">
        <v>-1.2</v>
      </c>
    </row>
    <row r="7" spans="1:5" x14ac:dyDescent="0.3">
      <c r="A7" s="9" t="s">
        <v>14</v>
      </c>
      <c r="B7" s="7">
        <v>4006</v>
      </c>
      <c r="C7" s="7">
        <v>4125.82958984375</v>
      </c>
      <c r="D7" s="7">
        <v>120</v>
      </c>
      <c r="E7" s="7">
        <v>3</v>
      </c>
    </row>
    <row r="8" spans="1:5" x14ac:dyDescent="0.3">
      <c r="A8" s="9" t="s">
        <v>15</v>
      </c>
      <c r="B8" s="7">
        <v>1248</v>
      </c>
      <c r="C8" s="7">
        <v>1695.234985351562</v>
      </c>
      <c r="D8" s="7">
        <v>447</v>
      </c>
      <c r="E8" s="7">
        <v>35.799999999999997</v>
      </c>
    </row>
    <row r="9" spans="1:5" x14ac:dyDescent="0.3">
      <c r="A9" s="9" t="s">
        <v>13</v>
      </c>
      <c r="B9" s="7">
        <v>5198</v>
      </c>
      <c r="C9" s="7">
        <v>5333.83447265625</v>
      </c>
      <c r="D9" s="7">
        <v>136</v>
      </c>
      <c r="E9" s="7">
        <v>2.6</v>
      </c>
    </row>
    <row r="10" spans="1:5" x14ac:dyDescent="0.3">
      <c r="A10" s="9" t="s">
        <v>10</v>
      </c>
      <c r="B10" s="7">
        <v>9993</v>
      </c>
      <c r="C10" s="7">
        <v>9809.0439453125</v>
      </c>
      <c r="D10" s="7">
        <v>-184</v>
      </c>
      <c r="E10" s="7">
        <v>-1.8</v>
      </c>
    </row>
    <row r="11" spans="1:5" x14ac:dyDescent="0.3">
      <c r="A11" s="9" t="s">
        <v>35</v>
      </c>
      <c r="B11" s="7">
        <v>47767</v>
      </c>
      <c r="C11" s="7">
        <v>47537.707153320313</v>
      </c>
      <c r="D11" s="7">
        <v>-230</v>
      </c>
      <c r="E11" s="7">
        <v>34.200000000000003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F2" sqref="F2"/>
    </sheetView>
  </sheetViews>
  <sheetFormatPr defaultRowHeight="14.4" x14ac:dyDescent="0.3"/>
  <cols>
    <col min="1" max="1" width="15.21875" customWidth="1"/>
    <col min="2" max="2" width="22.109375" customWidth="1"/>
    <col min="3" max="3" width="33.6640625" customWidth="1"/>
    <col min="4" max="4" width="20.33203125" customWidth="1"/>
  </cols>
  <sheetData>
    <row r="1" spans="1:4" x14ac:dyDescent="0.3">
      <c r="A1" s="1" t="s">
        <v>16</v>
      </c>
      <c r="B1" s="1" t="s">
        <v>17</v>
      </c>
      <c r="C1" s="1" t="s">
        <v>18</v>
      </c>
      <c r="D1" s="1" t="s">
        <v>5</v>
      </c>
    </row>
    <row r="2" spans="1:4" x14ac:dyDescent="0.3">
      <c r="A2" t="s">
        <v>19</v>
      </c>
      <c r="B2">
        <v>100</v>
      </c>
      <c r="C2" s="4">
        <v>-68.709387183844854</v>
      </c>
      <c r="D2" t="s">
        <v>9</v>
      </c>
    </row>
    <row r="3" spans="1:4" x14ac:dyDescent="0.3">
      <c r="A3" t="s">
        <v>20</v>
      </c>
      <c r="B3">
        <v>100</v>
      </c>
      <c r="C3" s="4">
        <v>-75.185411587948053</v>
      </c>
      <c r="D3" t="s">
        <v>13</v>
      </c>
    </row>
    <row r="4" spans="1:4" x14ac:dyDescent="0.3">
      <c r="A4" t="s">
        <v>21</v>
      </c>
      <c r="B4">
        <v>100</v>
      </c>
      <c r="C4" s="4">
        <v>-62.319925127526851</v>
      </c>
      <c r="D4" t="s">
        <v>11</v>
      </c>
    </row>
    <row r="5" spans="1:4" x14ac:dyDescent="0.3">
      <c r="A5" t="s">
        <v>22</v>
      </c>
      <c r="B5">
        <v>100</v>
      </c>
      <c r="C5" s="4">
        <v>-73.793064262580728</v>
      </c>
      <c r="D5" t="s">
        <v>11</v>
      </c>
    </row>
    <row r="6" spans="1:4" x14ac:dyDescent="0.3">
      <c r="A6" t="s">
        <v>23</v>
      </c>
      <c r="B6">
        <v>100</v>
      </c>
      <c r="C6" s="4">
        <v>-72.04637711920617</v>
      </c>
      <c r="D6" t="s">
        <v>9</v>
      </c>
    </row>
    <row r="7" spans="1:4" x14ac:dyDescent="0.3">
      <c r="A7" t="s">
        <v>24</v>
      </c>
      <c r="B7" s="5">
        <v>66.033234887203534</v>
      </c>
      <c r="C7" s="4">
        <v>-68.071167478369262</v>
      </c>
      <c r="D7" t="s">
        <v>15</v>
      </c>
    </row>
    <row r="8" spans="1:4" x14ac:dyDescent="0.3">
      <c r="A8" t="s">
        <v>25</v>
      </c>
      <c r="B8" s="5">
        <v>62.464213838260719</v>
      </c>
      <c r="C8" s="4">
        <v>-39.539960656538561</v>
      </c>
      <c r="D8" t="s">
        <v>12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1E701-BEC8-4071-8A05-89C91293766C}">
  <dimension ref="A3:C18"/>
  <sheetViews>
    <sheetView workbookViewId="0">
      <selection activeCell="F26" sqref="F26"/>
    </sheetView>
  </sheetViews>
  <sheetFormatPr defaultRowHeight="14.4" x14ac:dyDescent="0.3"/>
  <cols>
    <col min="1" max="1" width="18.88671875" bestFit="1" customWidth="1"/>
    <col min="2" max="2" width="27.88671875" bestFit="1" customWidth="1"/>
    <col min="3" max="3" width="33.33203125" bestFit="1" customWidth="1"/>
  </cols>
  <sheetData>
    <row r="3" spans="1:3" x14ac:dyDescent="0.3">
      <c r="A3" s="8" t="s">
        <v>38</v>
      </c>
      <c r="B3" t="s">
        <v>36</v>
      </c>
      <c r="C3" t="s">
        <v>37</v>
      </c>
    </row>
    <row r="4" spans="1:3" x14ac:dyDescent="0.3">
      <c r="A4" s="9" t="s">
        <v>19</v>
      </c>
      <c r="B4" s="7">
        <v>100</v>
      </c>
      <c r="C4" s="7">
        <v>-68.709387183844854</v>
      </c>
    </row>
    <row r="5" spans="1:3" x14ac:dyDescent="0.3">
      <c r="A5" s="14" t="s">
        <v>9</v>
      </c>
      <c r="B5" s="7">
        <v>100</v>
      </c>
      <c r="C5" s="7">
        <v>-68.709387183844854</v>
      </c>
    </row>
    <row r="6" spans="1:3" x14ac:dyDescent="0.3">
      <c r="A6" s="9" t="s">
        <v>20</v>
      </c>
      <c r="B6" s="7">
        <v>100</v>
      </c>
      <c r="C6" s="7">
        <v>-75.185411587948053</v>
      </c>
    </row>
    <row r="7" spans="1:3" x14ac:dyDescent="0.3">
      <c r="A7" s="14" t="s">
        <v>13</v>
      </c>
      <c r="B7" s="7">
        <v>100</v>
      </c>
      <c r="C7" s="7">
        <v>-75.185411587948053</v>
      </c>
    </row>
    <row r="8" spans="1:3" x14ac:dyDescent="0.3">
      <c r="A8" s="9" t="s">
        <v>21</v>
      </c>
      <c r="B8" s="7">
        <v>100</v>
      </c>
      <c r="C8" s="7">
        <v>-62.319925127526851</v>
      </c>
    </row>
    <row r="9" spans="1:3" x14ac:dyDescent="0.3">
      <c r="A9" s="14" t="s">
        <v>11</v>
      </c>
      <c r="B9" s="7">
        <v>100</v>
      </c>
      <c r="C9" s="7">
        <v>-62.319925127526851</v>
      </c>
    </row>
    <row r="10" spans="1:3" x14ac:dyDescent="0.3">
      <c r="A10" s="9" t="s">
        <v>22</v>
      </c>
      <c r="B10" s="7">
        <v>100</v>
      </c>
      <c r="C10" s="7">
        <v>-73.793064262580728</v>
      </c>
    </row>
    <row r="11" spans="1:3" x14ac:dyDescent="0.3">
      <c r="A11" s="14" t="s">
        <v>11</v>
      </c>
      <c r="B11" s="7">
        <v>100</v>
      </c>
      <c r="C11" s="7">
        <v>-73.793064262580728</v>
      </c>
    </row>
    <row r="12" spans="1:3" x14ac:dyDescent="0.3">
      <c r="A12" s="9" t="s">
        <v>25</v>
      </c>
      <c r="B12" s="7">
        <v>62.464213838260719</v>
      </c>
      <c r="C12" s="7">
        <v>-39.539960656538561</v>
      </c>
    </row>
    <row r="13" spans="1:3" x14ac:dyDescent="0.3">
      <c r="A13" s="14" t="s">
        <v>12</v>
      </c>
      <c r="B13" s="7">
        <v>62.464213838260719</v>
      </c>
      <c r="C13" s="7">
        <v>-39.539960656538561</v>
      </c>
    </row>
    <row r="14" spans="1:3" x14ac:dyDescent="0.3">
      <c r="A14" s="9" t="s">
        <v>23</v>
      </c>
      <c r="B14" s="7">
        <v>100</v>
      </c>
      <c r="C14" s="7">
        <v>-72.04637711920617</v>
      </c>
    </row>
    <row r="15" spans="1:3" x14ac:dyDescent="0.3">
      <c r="A15" s="14" t="s">
        <v>9</v>
      </c>
      <c r="B15" s="7">
        <v>100</v>
      </c>
      <c r="C15" s="7">
        <v>-72.04637711920617</v>
      </c>
    </row>
    <row r="16" spans="1:3" x14ac:dyDescent="0.3">
      <c r="A16" s="9" t="s">
        <v>24</v>
      </c>
      <c r="B16" s="7">
        <v>66.033234887203534</v>
      </c>
      <c r="C16" s="7">
        <v>-68.071167478369262</v>
      </c>
    </row>
    <row r="17" spans="1:3" x14ac:dyDescent="0.3">
      <c r="A17" s="14" t="s">
        <v>15</v>
      </c>
      <c r="B17" s="7">
        <v>66.033234887203534</v>
      </c>
      <c r="C17" s="7">
        <v>-68.071167478369262</v>
      </c>
    </row>
    <row r="18" spans="1:3" x14ac:dyDescent="0.3">
      <c r="A18" s="9" t="s">
        <v>35</v>
      </c>
      <c r="B18" s="7">
        <v>628.49744872546432</v>
      </c>
      <c r="C18" s="7">
        <v>-459.66529341601449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B9" sqref="B9"/>
    </sheetView>
  </sheetViews>
  <sheetFormatPr defaultRowHeight="14.4" x14ac:dyDescent="0.3"/>
  <cols>
    <col min="1" max="1" width="26.109375" customWidth="1"/>
    <col min="2" max="2" width="39" customWidth="1"/>
  </cols>
  <sheetData>
    <row r="1" spans="1:4" x14ac:dyDescent="0.3">
      <c r="A1" s="10" t="s">
        <v>26</v>
      </c>
      <c r="B1" s="10" t="s">
        <v>27</v>
      </c>
      <c r="C1" s="13"/>
    </row>
    <row r="2" spans="1:4" x14ac:dyDescent="0.3">
      <c r="A2" s="11" t="s">
        <v>28</v>
      </c>
      <c r="B2" s="12" t="s">
        <v>31</v>
      </c>
      <c r="C2" s="12"/>
      <c r="D2" s="12"/>
    </row>
    <row r="3" spans="1:4" x14ac:dyDescent="0.3">
      <c r="A3" s="11" t="s">
        <v>29</v>
      </c>
      <c r="B3" s="12" t="s">
        <v>32</v>
      </c>
      <c r="C3" s="12"/>
      <c r="D3" s="12"/>
    </row>
    <row r="4" spans="1:4" x14ac:dyDescent="0.3">
      <c r="A4" s="11" t="s">
        <v>30</v>
      </c>
      <c r="B4" s="12" t="s">
        <v>33</v>
      </c>
      <c r="C4" s="12"/>
      <c r="D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Project_1_Forecast</vt:lpstr>
      <vt:lpstr>Project1</vt:lpstr>
      <vt:lpstr>Project_2_Product_Growth</vt:lpstr>
      <vt:lpstr>Project2</vt:lpstr>
      <vt:lpstr>Project_3_Country_Growth</vt:lpstr>
      <vt:lpstr>Project3</vt:lpstr>
      <vt:lpstr>Executive_Summary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Ayesha Singh</cp:lastModifiedBy>
  <dcterms:created xsi:type="dcterms:W3CDTF">2026-01-09T08:10:13Z</dcterms:created>
  <dcterms:modified xsi:type="dcterms:W3CDTF">2026-01-12T15:00:04Z</dcterms:modified>
</cp:coreProperties>
</file>